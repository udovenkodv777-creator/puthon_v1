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00.Python\Модуль_4\"/>
    </mc:Choice>
  </mc:AlternateContent>
  <xr:revisionPtr revIDLastSave="0" documentId="13_ncr:1_{972821C5-7501-4CBA-A752-C706ACC4A2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Расчет потребности ЭКГ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D18" i="1" s="1"/>
  <c r="C15" i="1"/>
  <c r="C18" i="1" s="1"/>
  <c r="D19" i="1"/>
  <c r="C19" i="1"/>
  <c r="D16" i="1"/>
  <c r="C16" i="1"/>
  <c r="D14" i="1"/>
  <c r="D17" i="1" s="1"/>
  <c r="D20" i="1" s="1"/>
  <c r="C14" i="1"/>
  <c r="C17" i="1" s="1"/>
  <c r="C20" i="1" s="1"/>
</calcChain>
</file>

<file path=xl/sharedStrings.xml><?xml version="1.0" encoding="utf-8"?>
<sst xmlns="http://schemas.openxmlformats.org/spreadsheetml/2006/main" count="39" uniqueCount="34">
  <si>
    <t>Параметр</t>
  </si>
  <si>
    <t>Ед. изм.</t>
  </si>
  <si>
    <t>БелАЗ-75313 (130т)</t>
  </si>
  <si>
    <t>NHL TR100 (90т)</t>
  </si>
  <si>
    <t>Вместимость ковша ЭКГ-10</t>
  </si>
  <si>
    <t>м3</t>
  </si>
  <si>
    <t>Коэф. наполнения ковша</t>
  </si>
  <si>
    <t>ед.</t>
  </si>
  <si>
    <t>Коэф. разрыхления породы</t>
  </si>
  <si>
    <t>Плотность породы (в целике)</t>
  </si>
  <si>
    <t>т/м3</t>
  </si>
  <si>
    <t>Грузоподъемность самосвала</t>
  </si>
  <si>
    <t>т</t>
  </si>
  <si>
    <t>Время одного цикла экскаватора</t>
  </si>
  <si>
    <t>сек</t>
  </si>
  <si>
    <t>Время на смену самосвала в забое</t>
  </si>
  <si>
    <t>Годовой фонд времени работы</t>
  </si>
  <si>
    <t>час</t>
  </si>
  <si>
    <t>Плановый грузооборот (2029 г.)</t>
  </si>
  <si>
    <t>тыс. тн*км</t>
  </si>
  <si>
    <t>Среднее плечо транспортировки</t>
  </si>
  <si>
    <t>км</t>
  </si>
  <si>
    <t>РЕЗУЛЬТАТЫ РАСЧЕТА</t>
  </si>
  <si>
    <t>Объем горной массы в ковше</t>
  </si>
  <si>
    <t>Необходимое кол-во ковшей</t>
  </si>
  <si>
    <t>шт</t>
  </si>
  <si>
    <t>Время погрузки 1 самосвала</t>
  </si>
  <si>
    <t>Техн. производительность ЭКГ</t>
  </si>
  <si>
    <t>т/час</t>
  </si>
  <si>
    <t>Годовая производительность ЭКГ</t>
  </si>
  <si>
    <t>тыс. т/год</t>
  </si>
  <si>
    <t>Требуемый объем добычи (масса)</t>
  </si>
  <si>
    <t>тыс. т</t>
  </si>
  <si>
    <t>ПОТРЕБНОСТЬ В ЭКСКАВАТОРАХ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</si>
</sst>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3" borderId="1" xfId="0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16" sqref="C16"/>
    </sheetView>
  </sheetViews>
  <sheetFormatPr defaultRowHeight="14.4" x14ac:dyDescent="0.3"/>
  <cols>
    <col min="1" max="1" width="35" customWidth="1"/>
    <col min="3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3">
        <v>10</v>
      </c>
      <c r="D2" s="3">
        <v>10</v>
      </c>
    </row>
    <row r="3" spans="1:4" x14ac:dyDescent="0.3">
      <c r="A3" s="2" t="s">
        <v>6</v>
      </c>
      <c r="B3" s="3" t="s">
        <v>7</v>
      </c>
      <c r="C3" s="3">
        <v>0.85</v>
      </c>
      <c r="D3" s="3">
        <v>0.85</v>
      </c>
    </row>
    <row r="4" spans="1:4" x14ac:dyDescent="0.3">
      <c r="A4" s="2" t="s">
        <v>8</v>
      </c>
      <c r="B4" s="3" t="s">
        <v>7</v>
      </c>
      <c r="C4" s="3">
        <v>1.3</v>
      </c>
      <c r="D4" s="3">
        <v>1.3</v>
      </c>
    </row>
    <row r="5" spans="1:4" x14ac:dyDescent="0.3">
      <c r="A5" s="2" t="s">
        <v>9</v>
      </c>
      <c r="B5" s="3" t="s">
        <v>10</v>
      </c>
      <c r="C5" s="3">
        <v>2.6</v>
      </c>
      <c r="D5" s="3">
        <v>2.6</v>
      </c>
    </row>
    <row r="6" spans="1:4" x14ac:dyDescent="0.3">
      <c r="A6" s="2" t="s">
        <v>11</v>
      </c>
      <c r="B6" s="3" t="s">
        <v>12</v>
      </c>
      <c r="C6" s="3">
        <v>130</v>
      </c>
      <c r="D6" s="3">
        <v>90</v>
      </c>
    </row>
    <row r="7" spans="1:4" x14ac:dyDescent="0.3">
      <c r="A7" s="2" t="s">
        <v>13</v>
      </c>
      <c r="B7" s="3" t="s">
        <v>14</v>
      </c>
      <c r="C7" s="3">
        <v>30</v>
      </c>
      <c r="D7" s="3">
        <v>28</v>
      </c>
    </row>
    <row r="8" spans="1:4" x14ac:dyDescent="0.3">
      <c r="A8" s="2" t="s">
        <v>15</v>
      </c>
      <c r="B8" s="3" t="s">
        <v>14</v>
      </c>
      <c r="C8" s="3">
        <v>50</v>
      </c>
      <c r="D8" s="3">
        <v>40</v>
      </c>
    </row>
    <row r="9" spans="1:4" x14ac:dyDescent="0.3">
      <c r="A9" s="2" t="s">
        <v>16</v>
      </c>
      <c r="B9" s="3" t="s">
        <v>17</v>
      </c>
      <c r="C9" s="3">
        <v>5500</v>
      </c>
      <c r="D9" s="3">
        <v>5500</v>
      </c>
    </row>
    <row r="10" spans="1:4" x14ac:dyDescent="0.3">
      <c r="A10" s="2" t="s">
        <v>18</v>
      </c>
      <c r="B10" s="3" t="s">
        <v>19</v>
      </c>
      <c r="C10" s="3">
        <v>256000</v>
      </c>
      <c r="D10" s="3">
        <v>256000</v>
      </c>
    </row>
    <row r="11" spans="1:4" x14ac:dyDescent="0.3">
      <c r="A11" s="2" t="s">
        <v>20</v>
      </c>
      <c r="B11" s="3" t="s">
        <v>21</v>
      </c>
      <c r="C11" s="3">
        <v>4.5</v>
      </c>
      <c r="D11" s="3">
        <v>4.5</v>
      </c>
    </row>
    <row r="12" spans="1:4" x14ac:dyDescent="0.3">
      <c r="A12" s="2"/>
      <c r="B12" s="3"/>
      <c r="C12" s="3"/>
      <c r="D12" s="3"/>
    </row>
    <row r="13" spans="1:4" x14ac:dyDescent="0.3">
      <c r="A13" s="4" t="s">
        <v>22</v>
      </c>
      <c r="B13" s="3"/>
      <c r="C13" s="3"/>
      <c r="D13" s="3"/>
    </row>
    <row r="14" spans="1:4" x14ac:dyDescent="0.3">
      <c r="A14" s="2" t="s">
        <v>23</v>
      </c>
      <c r="B14" s="3" t="s">
        <v>12</v>
      </c>
      <c r="C14" s="5">
        <f>(C2*C3*C5)/C4</f>
        <v>17</v>
      </c>
      <c r="D14" s="5">
        <f>(D2*D3*D5)/D4</f>
        <v>17</v>
      </c>
    </row>
    <row r="15" spans="1:4" x14ac:dyDescent="0.3">
      <c r="A15" s="2" t="s">
        <v>24</v>
      </c>
      <c r="B15" s="3" t="s">
        <v>25</v>
      </c>
      <c r="C15" s="8">
        <f>ROUNDUP(C6/C14, 0)</f>
        <v>8</v>
      </c>
      <c r="D15" s="8">
        <f>ROUNDUP(D6/D14, 0)</f>
        <v>6</v>
      </c>
    </row>
    <row r="16" spans="1:4" x14ac:dyDescent="0.3">
      <c r="A16" s="2" t="s">
        <v>26</v>
      </c>
      <c r="B16" s="3" t="s">
        <v>14</v>
      </c>
      <c r="C16" s="5">
        <f>(C13*C7)+C8</f>
        <v>50</v>
      </c>
      <c r="D16" s="5">
        <f>(D13*D7)+D8</f>
        <v>40</v>
      </c>
    </row>
    <row r="17" spans="1:4" x14ac:dyDescent="0.3">
      <c r="A17" s="2" t="s">
        <v>27</v>
      </c>
      <c r="B17" s="3" t="s">
        <v>28</v>
      </c>
      <c r="C17" s="7">
        <f>(3600/C14)*C6</f>
        <v>27529.411764705881</v>
      </c>
      <c r="D17" s="7">
        <f>(3600/D14)*D6</f>
        <v>19058.823529411762</v>
      </c>
    </row>
    <row r="18" spans="1:4" x14ac:dyDescent="0.3">
      <c r="A18" s="2" t="s">
        <v>29</v>
      </c>
      <c r="B18" s="3" t="s">
        <v>30</v>
      </c>
      <c r="C18" s="5">
        <f>(C15*C9)/1000</f>
        <v>44</v>
      </c>
      <c r="D18" s="5">
        <f>(D15*D9)/1000</f>
        <v>33</v>
      </c>
    </row>
    <row r="19" spans="1:4" x14ac:dyDescent="0.3">
      <c r="A19" s="2" t="s">
        <v>31</v>
      </c>
      <c r="B19" s="3" t="s">
        <v>32</v>
      </c>
      <c r="C19" s="6">
        <f>C10/C11</f>
        <v>56888.888888888891</v>
      </c>
      <c r="D19" s="6">
        <f>D10/D11</f>
        <v>56888.888888888891</v>
      </c>
    </row>
    <row r="20" spans="1:4" x14ac:dyDescent="0.3">
      <c r="A20" s="2" t="s">
        <v>33</v>
      </c>
      <c r="B20" s="3" t="s">
        <v>7</v>
      </c>
      <c r="C20" s="5">
        <f>ROUNDUP(C17/C16, 1)</f>
        <v>550.6</v>
      </c>
      <c r="D20" s="5">
        <f>ROUNDUP(D17/D16, 1)</f>
        <v>476.5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потребности ЭКГ-10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Удовенко Денис Владимирович \ Denis Udovenko</cp:lastModifiedBy>
  <dcterms:created xsi:type="dcterms:W3CDTF">2026-04-28T13:19:58Z</dcterms:created>
  <dcterms:modified xsi:type="dcterms:W3CDTF">2026-04-28T16:32:20Z</dcterms:modified>
</cp:coreProperties>
</file>