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00.Python\Модуль_4\"/>
    </mc:Choice>
  </mc:AlternateContent>
  <xr:revisionPtr revIDLastSave="0" documentId="13_ncr:1_{2DE65FD7-C517-456E-B3EF-6C788DD404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Вводные данные" sheetId="1" r:id="rId1"/>
    <sheet name="Расчет самосвалов" sheetId="2" r:id="rId2"/>
    <sheet name="Прирост грузооборота" sheetId="3" r:id="rId3"/>
    <sheet name="Потребность в экскаватора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4" l="1"/>
  <c r="B7" i="3"/>
  <c r="B6" i="3"/>
  <c r="B6" i="2"/>
  <c r="B5" i="2"/>
  <c r="B4" i="2"/>
  <c r="B3" i="2"/>
  <c r="B2" i="2"/>
</calcChain>
</file>

<file path=xl/sharedStrings.xml><?xml version="1.0" encoding="utf-8"?>
<sst xmlns="http://schemas.openxmlformats.org/spreadsheetml/2006/main" count="86" uniqueCount="67">
  <si>
    <t>Параметр</t>
  </si>
  <si>
    <t>Обозначение</t>
  </si>
  <si>
    <t>Значение</t>
  </si>
  <si>
    <t>Ед. изм.</t>
  </si>
  <si>
    <t>Примечание</t>
  </si>
  <si>
    <t>Грузоподъемность БелАЗ-7513</t>
  </si>
  <si>
    <t>q_Б</t>
  </si>
  <si>
    <t>т</t>
  </si>
  <si>
    <t>Грузоподъемность NHL TR100</t>
  </si>
  <si>
    <t>q_N</t>
  </si>
  <si>
    <t>Текущий парк БелАЗ-7513</t>
  </si>
  <si>
    <t>N_тек</t>
  </si>
  <si>
    <t>ед.</t>
  </si>
  <si>
    <t>Плановый грузооборот (база)</t>
  </si>
  <si>
    <t>Q_баз</t>
  </si>
  <si>
    <t>млн т·км</t>
  </si>
  <si>
    <t>Коэффициент использования парка</t>
  </si>
  <si>
    <t>k_исп</t>
  </si>
  <si>
    <t>Годовой пробег 1 самосвала</t>
  </si>
  <si>
    <t>L_год</t>
  </si>
  <si>
    <t>км</t>
  </si>
  <si>
    <t>Среднее плечо транспортировки</t>
  </si>
  <si>
    <t>L_ср</t>
  </si>
  <si>
    <t>Время рейса</t>
  </si>
  <si>
    <t>t_рейс</t>
  </si>
  <si>
    <t>час</t>
  </si>
  <si>
    <t>Производительность ЭКГ-10</t>
  </si>
  <si>
    <t>P_экс</t>
  </si>
  <si>
    <t>млн м³/год</t>
  </si>
  <si>
    <t>Плотность ГМ</t>
  </si>
  <si>
    <t>ρ</t>
  </si>
  <si>
    <t>т/м³</t>
  </si>
  <si>
    <t>Часов в году</t>
  </si>
  <si>
    <t>T_год</t>
  </si>
  <si>
    <t>Показатель</t>
  </si>
  <si>
    <t>Формула</t>
  </si>
  <si>
    <t>БелАЗ-7513</t>
  </si>
  <si>
    <t>NHL TR100</t>
  </si>
  <si>
    <t>Рейсовая нагрузка</t>
  </si>
  <si>
    <t>Рейсов в год на 1 самосвал</t>
  </si>
  <si>
    <t>рейсов/год</t>
  </si>
  <si>
    <t>Грузооборот 1 самосвала в год</t>
  </si>
  <si>
    <t>тыс. т·км</t>
  </si>
  <si>
    <t>Потребное кол-во на базовый объем</t>
  </si>
  <si>
    <t>То же (упрощенно)</t>
  </si>
  <si>
    <t>Год</t>
  </si>
  <si>
    <t>Прирост т·км, млн</t>
  </si>
  <si>
    <t>Прирост ГМ, млн м³</t>
  </si>
  <si>
    <t>Прирост ГМ, млн т</t>
  </si>
  <si>
    <t>Доп. самосвалы NHL</t>
  </si>
  <si>
    <t>Доп. экскаваторы ЭКГ-10</t>
  </si>
  <si>
    <t>2030+</t>
  </si>
  <si>
    <t>ИТОГО доп. самосвалов NHL на развитие</t>
  </si>
  <si>
    <t>ИТОГО доп. экскаваторов ЭКГ-10 на развитие</t>
  </si>
  <si>
    <t>Парк самосвалов (база)</t>
  </si>
  <si>
    <t>на базовый объем</t>
  </si>
  <si>
    <t>Парк самосвалов (развитие)</t>
  </si>
  <si>
    <t>база + доп. на развитие</t>
  </si>
  <si>
    <t>Суммарный вывоз ГМ, млн т/год</t>
  </si>
  <si>
    <t>млн т</t>
  </si>
  <si>
    <t>расчетно</t>
  </si>
  <si>
    <t>Суммарный вывоз ГМ, млн м³/год</t>
  </si>
  <si>
    <t>млн м³</t>
  </si>
  <si>
    <t>Потребность в экскаваторах ЭКГ-10</t>
  </si>
  <si>
    <t>Дополнительные экскаваторы при переходе на NHL</t>
  </si>
  <si>
    <t>≈ -0.09</t>
  </si>
  <si>
    <t>относительно базы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</si>
</sst>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N18" sqref="N18"/>
    </sheetView>
  </sheetViews>
  <sheetFormatPr defaultRowHeight="14.4" x14ac:dyDescent="0.3"/>
  <cols>
    <col min="1" max="1" width="34" customWidth="1"/>
    <col min="2" max="2" width="14" customWidth="1"/>
    <col min="3" max="3" width="11" customWidth="1"/>
    <col min="4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130</v>
      </c>
      <c r="D2" t="s">
        <v>7</v>
      </c>
    </row>
    <row r="3" spans="1:5" x14ac:dyDescent="0.3">
      <c r="A3" t="s">
        <v>8</v>
      </c>
      <c r="B3" t="s">
        <v>9</v>
      </c>
      <c r="C3">
        <v>90</v>
      </c>
      <c r="D3" t="s">
        <v>7</v>
      </c>
    </row>
    <row r="4" spans="1:5" x14ac:dyDescent="0.3">
      <c r="A4" t="s">
        <v>10</v>
      </c>
      <c r="B4" t="s">
        <v>11</v>
      </c>
      <c r="C4">
        <v>20</v>
      </c>
      <c r="D4" t="s">
        <v>12</v>
      </c>
    </row>
    <row r="5" spans="1:5" x14ac:dyDescent="0.3">
      <c r="A5" t="s">
        <v>13</v>
      </c>
      <c r="B5" t="s">
        <v>14</v>
      </c>
      <c r="C5">
        <v>140</v>
      </c>
      <c r="D5" t="s">
        <v>15</v>
      </c>
    </row>
    <row r="6" spans="1:5" x14ac:dyDescent="0.3">
      <c r="A6" t="s">
        <v>16</v>
      </c>
      <c r="B6" t="s">
        <v>17</v>
      </c>
      <c r="C6">
        <v>0.85</v>
      </c>
    </row>
    <row r="7" spans="1:5" x14ac:dyDescent="0.3">
      <c r="A7" t="s">
        <v>18</v>
      </c>
      <c r="B7" t="s">
        <v>19</v>
      </c>
      <c r="C7">
        <v>120000</v>
      </c>
      <c r="D7" t="s">
        <v>20</v>
      </c>
    </row>
    <row r="8" spans="1:5" x14ac:dyDescent="0.3">
      <c r="A8" t="s">
        <v>21</v>
      </c>
      <c r="B8" t="s">
        <v>22</v>
      </c>
      <c r="C8">
        <v>4.5</v>
      </c>
      <c r="D8" t="s">
        <v>20</v>
      </c>
    </row>
    <row r="9" spans="1:5" x14ac:dyDescent="0.3">
      <c r="A9" t="s">
        <v>23</v>
      </c>
      <c r="B9" t="s">
        <v>24</v>
      </c>
      <c r="C9">
        <v>1.5</v>
      </c>
      <c r="D9" t="s">
        <v>25</v>
      </c>
    </row>
    <row r="10" spans="1:5" x14ac:dyDescent="0.3">
      <c r="A10" t="s">
        <v>26</v>
      </c>
      <c r="B10" t="s">
        <v>27</v>
      </c>
      <c r="C10">
        <v>5</v>
      </c>
      <c r="D10" t="s">
        <v>28</v>
      </c>
    </row>
    <row r="11" spans="1:5" x14ac:dyDescent="0.3">
      <c r="A11" t="s">
        <v>29</v>
      </c>
      <c r="B11" t="s">
        <v>30</v>
      </c>
      <c r="C11">
        <v>2.6</v>
      </c>
      <c r="D11" t="s">
        <v>31</v>
      </c>
    </row>
    <row r="12" spans="1:5" x14ac:dyDescent="0.3">
      <c r="A12" t="s">
        <v>32</v>
      </c>
      <c r="B12" t="s">
        <v>33</v>
      </c>
      <c r="C12">
        <v>8760</v>
      </c>
      <c r="D1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cols>
    <col min="1" max="2" width="36" customWidth="1"/>
    <col min="3" max="3" width="13" customWidth="1"/>
    <col min="4" max="4" width="12" customWidth="1"/>
    <col min="5" max="5" width="13" customWidth="1"/>
  </cols>
  <sheetData>
    <row r="1" spans="1:5" x14ac:dyDescent="0.3">
      <c r="A1" t="s">
        <v>34</v>
      </c>
      <c r="B1" t="s">
        <v>35</v>
      </c>
      <c r="C1" t="s">
        <v>36</v>
      </c>
      <c r="D1" t="s">
        <v>37</v>
      </c>
      <c r="E1" t="s">
        <v>3</v>
      </c>
    </row>
    <row r="2" spans="1:5" x14ac:dyDescent="0.3">
      <c r="A2" t="s">
        <v>38</v>
      </c>
      <c r="B2" t="e">
        <f>грузоподъемность * 0.85</f>
        <v>#NAME?</v>
      </c>
      <c r="C2">
        <v>110.5</v>
      </c>
      <c r="D2">
        <v>76.5</v>
      </c>
      <c r="E2" t="s">
        <v>7</v>
      </c>
    </row>
    <row r="3" spans="1:5" x14ac:dyDescent="0.3">
      <c r="A3" t="s">
        <v>39</v>
      </c>
      <c r="B3" t="e">
        <f>T_год * k_исп / t_рейс</f>
        <v>#NAME?</v>
      </c>
      <c r="C3">
        <v>4964</v>
      </c>
      <c r="D3">
        <v>4964</v>
      </c>
      <c r="E3" t="s">
        <v>40</v>
      </c>
    </row>
    <row r="4" spans="1:5" x14ac:dyDescent="0.3">
      <c r="A4" t="s">
        <v>41</v>
      </c>
      <c r="B4" t="e">
        <f>рейсовая нагрузка * L_год</f>
        <v>#NAME?</v>
      </c>
      <c r="C4">
        <v>13260</v>
      </c>
      <c r="D4">
        <v>9180</v>
      </c>
      <c r="E4" t="s">
        <v>42</v>
      </c>
    </row>
    <row r="5" spans="1:5" x14ac:dyDescent="0.3">
      <c r="A5" t="s">
        <v>43</v>
      </c>
      <c r="B5" t="e">
        <f>Q_баз / (q_рейс * L_год * k_исп)</f>
        <v>#NAME?</v>
      </c>
      <c r="C5">
        <v>12.4</v>
      </c>
      <c r="D5">
        <v>17.899999999999999</v>
      </c>
      <c r="E5" t="s">
        <v>12</v>
      </c>
    </row>
    <row r="6" spans="1:5" x14ac:dyDescent="0.3">
      <c r="A6" t="s">
        <v>44</v>
      </c>
      <c r="B6" t="e">
        <f>N_тек * (q_Б / q_N)</f>
        <v>#NAME?</v>
      </c>
      <c r="C6">
        <v>20</v>
      </c>
      <c r="D6">
        <v>28.9</v>
      </c>
      <c r="E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4" x14ac:dyDescent="0.3"/>
  <cols>
    <col min="1" max="1" width="40" customWidth="1"/>
    <col min="2" max="2" width="20" customWidth="1"/>
    <col min="3" max="3" width="21" customWidth="1"/>
    <col min="4" max="4" width="20" customWidth="1"/>
    <col min="5" max="5" width="21" customWidth="1"/>
    <col min="6" max="6" width="26" customWidth="1"/>
  </cols>
  <sheetData>
    <row r="1" spans="1:6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3">
      <c r="A2">
        <v>2027</v>
      </c>
      <c r="B2">
        <v>76</v>
      </c>
      <c r="C2">
        <v>3.1</v>
      </c>
      <c r="D2">
        <v>8.06</v>
      </c>
      <c r="E2">
        <v>21.2</v>
      </c>
      <c r="F2">
        <v>0.62</v>
      </c>
    </row>
    <row r="3" spans="1:6" x14ac:dyDescent="0.3">
      <c r="A3">
        <v>2029</v>
      </c>
      <c r="B3">
        <v>125</v>
      </c>
      <c r="C3">
        <v>1.8</v>
      </c>
      <c r="D3">
        <v>4.68</v>
      </c>
      <c r="E3">
        <v>12.3</v>
      </c>
      <c r="F3">
        <v>0.36</v>
      </c>
    </row>
    <row r="4" spans="1:6" x14ac:dyDescent="0.3">
      <c r="A4" t="s">
        <v>51</v>
      </c>
      <c r="B4">
        <v>250</v>
      </c>
      <c r="C4">
        <v>6.2</v>
      </c>
      <c r="D4">
        <v>16.12</v>
      </c>
      <c r="E4">
        <v>42.4</v>
      </c>
      <c r="F4">
        <v>1.24</v>
      </c>
    </row>
    <row r="6" spans="1:6" x14ac:dyDescent="0.3">
      <c r="A6" t="s">
        <v>52</v>
      </c>
      <c r="B6" t="e">
        <f ca="1">СУММ(E2:E4)</f>
        <v>#NAME?</v>
      </c>
      <c r="C6" t="s">
        <v>12</v>
      </c>
    </row>
    <row r="7" spans="1:6" x14ac:dyDescent="0.3">
      <c r="A7" t="s">
        <v>53</v>
      </c>
      <c r="B7" t="e">
        <f ca="1">СУММ(F2:F4)</f>
        <v>#NAME?</v>
      </c>
      <c r="C7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4" x14ac:dyDescent="0.3"/>
  <cols>
    <col min="1" max="1" width="40" customWidth="1"/>
    <col min="2" max="2" width="13" customWidth="1"/>
    <col min="3" max="3" width="12" customWidth="1"/>
    <col min="4" max="4" width="20" customWidth="1"/>
    <col min="5" max="5" width="26" customWidth="1"/>
  </cols>
  <sheetData>
    <row r="1" spans="1:5" x14ac:dyDescent="0.3">
      <c r="A1" t="s">
        <v>34</v>
      </c>
      <c r="B1" t="s">
        <v>36</v>
      </c>
      <c r="C1" t="s">
        <v>37</v>
      </c>
      <c r="D1" t="s">
        <v>3</v>
      </c>
      <c r="E1" t="s">
        <v>4</v>
      </c>
    </row>
    <row r="2" spans="1:5" x14ac:dyDescent="0.3">
      <c r="A2" t="s">
        <v>54</v>
      </c>
      <c r="B2">
        <v>20</v>
      </c>
      <c r="C2">
        <v>28</v>
      </c>
      <c r="D2" t="s">
        <v>12</v>
      </c>
      <c r="E2" t="s">
        <v>55</v>
      </c>
    </row>
    <row r="3" spans="1:5" x14ac:dyDescent="0.3">
      <c r="A3" t="s">
        <v>56</v>
      </c>
      <c r="B3">
        <v>54</v>
      </c>
      <c r="C3">
        <v>75</v>
      </c>
      <c r="D3" t="s">
        <v>12</v>
      </c>
      <c r="E3" t="s">
        <v>57</v>
      </c>
    </row>
    <row r="4" spans="1:5" x14ac:dyDescent="0.3">
      <c r="A4" t="s">
        <v>58</v>
      </c>
      <c r="D4" t="s">
        <v>59</v>
      </c>
      <c r="E4" t="s">
        <v>60</v>
      </c>
    </row>
    <row r="5" spans="1:5" x14ac:dyDescent="0.3">
      <c r="A5" t="s">
        <v>61</v>
      </c>
      <c r="D5" t="s">
        <v>62</v>
      </c>
      <c r="E5" t="s">
        <v>60</v>
      </c>
    </row>
    <row r="6" spans="1:5" x14ac:dyDescent="0.3">
      <c r="A6" t="s">
        <v>63</v>
      </c>
      <c r="D6" t="s">
        <v>12</v>
      </c>
      <c r="E6" t="e">
        <f>V_ГМ / P_экс</f>
        <v>#NAME?</v>
      </c>
    </row>
    <row r="7" spans="1:5" x14ac:dyDescent="0.3">
      <c r="B7">
        <v>11.4</v>
      </c>
      <c r="C7">
        <v>11</v>
      </c>
    </row>
    <row r="8" spans="1:5" x14ac:dyDescent="0.3">
      <c r="B8">
        <v>2.2799999999999998</v>
      </c>
      <c r="C8">
        <v>2.19</v>
      </c>
    </row>
    <row r="10" spans="1:5" x14ac:dyDescent="0.3">
      <c r="A10" t="s">
        <v>64</v>
      </c>
      <c r="B10" t="s">
        <v>65</v>
      </c>
      <c r="C10" t="s">
        <v>12</v>
      </c>
      <c r="D1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Вводные данные</vt:lpstr>
      <vt:lpstr>Расчет самосвалов</vt:lpstr>
      <vt:lpstr>Прирост грузооборота</vt:lpstr>
      <vt:lpstr>Потребность в экскаваторах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Удовенко Денис Владимирович \ Denis Udovenko</cp:lastModifiedBy>
  <dcterms:created xsi:type="dcterms:W3CDTF">2026-04-28T12:44:29Z</dcterms:created>
  <dcterms:modified xsi:type="dcterms:W3CDTF">2026-04-28T16:32:25Z</dcterms:modified>
</cp:coreProperties>
</file>